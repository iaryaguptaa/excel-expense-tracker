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12 December" sheetId="1" r:id="rId1"/>
    <sheet name="13 December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Q14" i="1"/>
  <c r="Q17"/>
  <c r="Q18"/>
  <c r="Q13"/>
  <c r="G3" l="1"/>
  <c r="G4"/>
  <c r="G5"/>
  <c r="G6"/>
  <c r="G7"/>
  <c r="G8"/>
  <c r="G9"/>
  <c r="G10"/>
  <c r="G11"/>
  <c r="F3"/>
  <c r="F4"/>
  <c r="F5"/>
  <c r="F6"/>
  <c r="F7"/>
  <c r="F8"/>
  <c r="F9"/>
  <c r="F10"/>
  <c r="F11"/>
  <c r="E3"/>
  <c r="E4"/>
  <c r="E5"/>
  <c r="E7"/>
  <c r="E8"/>
  <c r="E9"/>
  <c r="E10"/>
  <c r="E11"/>
  <c r="E2"/>
  <c r="H3"/>
  <c r="H4"/>
  <c r="H5"/>
  <c r="H6"/>
  <c r="H7"/>
  <c r="H8"/>
  <c r="H9"/>
  <c r="H10"/>
  <c r="H11"/>
  <c r="H2"/>
  <c r="K5" s="1"/>
  <c r="G2"/>
  <c r="K4" s="1"/>
  <c r="F2"/>
  <c r="K3" s="1"/>
  <c r="P12"/>
  <c r="P11"/>
  <c r="P13" l="1"/>
  <c r="K2"/>
  <c r="K6" s="1"/>
  <c r="P18"/>
  <c r="P16"/>
  <c r="P17"/>
  <c r="P15"/>
  <c r="P14"/>
</calcChain>
</file>

<file path=xl/sharedStrings.xml><?xml version="1.0" encoding="utf-8"?>
<sst xmlns="http://schemas.openxmlformats.org/spreadsheetml/2006/main" count="49" uniqueCount="34">
  <si>
    <t>Description</t>
  </si>
  <si>
    <t>Type</t>
  </si>
  <si>
    <t>Amount</t>
  </si>
  <si>
    <t>Sn.No</t>
  </si>
  <si>
    <t>Tea</t>
  </si>
  <si>
    <t>food</t>
  </si>
  <si>
    <t>Snacks</t>
  </si>
  <si>
    <t>Gulab Jamun</t>
  </si>
  <si>
    <t>Lunch</t>
  </si>
  <si>
    <t>Stationary</t>
  </si>
  <si>
    <t>office</t>
  </si>
  <si>
    <t>Zerodha</t>
  </si>
  <si>
    <t>investment</t>
  </si>
  <si>
    <t>Icici</t>
  </si>
  <si>
    <t>Total for the Day</t>
  </si>
  <si>
    <t>Dinner</t>
  </si>
  <si>
    <t>Birthday of a friend</t>
  </si>
  <si>
    <t>fun</t>
  </si>
  <si>
    <t>Average Transaction Value</t>
  </si>
  <si>
    <t>Food Expenses</t>
  </si>
  <si>
    <t>Food</t>
  </si>
  <si>
    <t>Fun Expenses</t>
  </si>
  <si>
    <t>Fun</t>
  </si>
  <si>
    <t>Office</t>
  </si>
  <si>
    <t>Investment</t>
  </si>
  <si>
    <t>Office Expenses</t>
  </si>
  <si>
    <t>Investments</t>
  </si>
  <si>
    <t>Percentage</t>
  </si>
  <si>
    <t>-</t>
  </si>
  <si>
    <t>Category</t>
  </si>
  <si>
    <t>Total</t>
  </si>
  <si>
    <t>Total Exenses</t>
  </si>
  <si>
    <t>Average Food Transaction</t>
  </si>
  <si>
    <t>Averae Fun Transaction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</si>
</sst>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wrapText="1"/>
    </xf>
    <xf numFmtId="0" fontId="0" fillId="7" borderId="0" xfId="0" applyFill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0" fontId="0" fillId="5" borderId="6" xfId="1" applyNumberFormat="1" applyFont="1" applyFill="1" applyBorder="1" applyAlignment="1">
      <alignment horizontal="center" vertical="center"/>
    </xf>
    <xf numFmtId="10" fontId="1" fillId="2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>
                <a:solidFill>
                  <a:schemeClr val="tx1"/>
                </a:solidFill>
              </a:rPr>
              <a:t>Expense</a:t>
            </a:r>
            <a:r>
              <a:rPr lang="en-US" baseline="0">
                <a:solidFill>
                  <a:schemeClr val="tx1"/>
                </a:solidFill>
              </a:rPr>
              <a:t> Distribution by Category</a:t>
            </a:r>
            <a:endParaRPr lang="en-US">
              <a:solidFill>
                <a:schemeClr val="tx1"/>
              </a:solidFill>
            </a:endParaRPr>
          </a:p>
        </c:rich>
      </c:tx>
      <c:layout/>
    </c:title>
    <c:plotArea>
      <c:layout/>
      <c:pieChart>
        <c:varyColors val="1"/>
        <c:ser>
          <c:idx val="0"/>
          <c:order val="0"/>
          <c:tx>
            <c:strRef>
              <c:f>'12 December'!$K$1</c:f>
              <c:strCache>
                <c:ptCount val="1"/>
                <c:pt idx="0">
                  <c:v>Total</c:v>
                </c:pt>
              </c:strCache>
            </c:strRef>
          </c:tx>
          <c:explosion val="5"/>
          <c:dPt>
            <c:idx val="3"/>
            <c:explosion val="8"/>
          </c:dPt>
          <c:cat>
            <c:strRef>
              <c:f>'12 December'!$J$2:$J$5</c:f>
              <c:strCache>
                <c:ptCount val="4"/>
                <c:pt idx="0">
                  <c:v>Food</c:v>
                </c:pt>
                <c:pt idx="1">
                  <c:v>Fun</c:v>
                </c:pt>
                <c:pt idx="2">
                  <c:v>Office</c:v>
                </c:pt>
                <c:pt idx="3">
                  <c:v>Investment</c:v>
                </c:pt>
              </c:strCache>
            </c:strRef>
          </c:cat>
          <c:val>
            <c:numRef>
              <c:f>'12 December'!$K$2:$K$5</c:f>
              <c:numCache>
                <c:formatCode>General</c:formatCode>
                <c:ptCount val="4"/>
                <c:pt idx="0">
                  <c:v>223</c:v>
                </c:pt>
                <c:pt idx="1">
                  <c:v>300</c:v>
                </c:pt>
                <c:pt idx="2">
                  <c:v>40</c:v>
                </c:pt>
                <c:pt idx="3">
                  <c:v>3000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589358</xdr:colOff>
      <xdr:row>7</xdr:row>
      <xdr:rowOff>190499</xdr:rowOff>
    </xdr:from>
    <xdr:to>
      <xdr:col>12</xdr:col>
      <xdr:colOff>803671</xdr:colOff>
      <xdr:row>14</xdr:row>
      <xdr:rowOff>285751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tabSelected="1" topLeftCell="E1" zoomScale="160" zoomScaleNormal="160" workbookViewId="0">
      <selection activeCell="L16" sqref="L16"/>
    </sheetView>
  </sheetViews>
  <sheetFormatPr defaultRowHeight="15"/>
  <cols>
    <col min="2" max="2" width="18.28515625" bestFit="1" customWidth="1"/>
    <col min="3" max="3" width="11.140625" bestFit="1" customWidth="1"/>
    <col min="8" max="8" width="10.140625" customWidth="1"/>
    <col min="10" max="10" width="18" style="1" customWidth="1"/>
    <col min="12" max="12" width="12.85546875" customWidth="1"/>
    <col min="13" max="13" width="15.7109375" customWidth="1"/>
    <col min="14" max="14" width="5" customWidth="1"/>
    <col min="15" max="15" width="13.28515625" customWidth="1"/>
    <col min="16" max="16" width="12.42578125" customWidth="1"/>
    <col min="17" max="17" width="12.85546875" customWidth="1"/>
  </cols>
  <sheetData>
    <row r="1" spans="1:17">
      <c r="A1" s="3" t="s">
        <v>3</v>
      </c>
      <c r="B1" s="3" t="s">
        <v>0</v>
      </c>
      <c r="C1" s="3" t="s">
        <v>1</v>
      </c>
      <c r="D1" s="3" t="s">
        <v>2</v>
      </c>
      <c r="E1" s="3" t="s">
        <v>20</v>
      </c>
      <c r="F1" s="3" t="s">
        <v>22</v>
      </c>
      <c r="G1" s="3" t="s">
        <v>23</v>
      </c>
      <c r="H1" s="3" t="s">
        <v>24</v>
      </c>
      <c r="I1" s="4"/>
      <c r="J1" s="5" t="s">
        <v>29</v>
      </c>
      <c r="K1" s="6" t="s">
        <v>30</v>
      </c>
      <c r="L1" s="7"/>
    </row>
    <row r="2" spans="1:17">
      <c r="A2" s="8">
        <v>1</v>
      </c>
      <c r="B2" s="8" t="s">
        <v>4</v>
      </c>
      <c r="C2" s="8" t="s">
        <v>5</v>
      </c>
      <c r="D2" s="8">
        <v>15</v>
      </c>
      <c r="E2" s="8">
        <f>COUNTIF(C2,"food")*D2</f>
        <v>15</v>
      </c>
      <c r="F2" s="8">
        <f>COUNTIF(C2,"fun")*D2</f>
        <v>0</v>
      </c>
      <c r="G2" s="8">
        <f>COUNTIF(C2,"Office")*D2</f>
        <v>0</v>
      </c>
      <c r="H2" s="8">
        <f>COUNTIF(C2,"Investment")*D2</f>
        <v>0</v>
      </c>
      <c r="I2" s="7"/>
      <c r="J2" s="2" t="s">
        <v>20</v>
      </c>
      <c r="K2" s="9">
        <f>SUM(E1:E11)</f>
        <v>223</v>
      </c>
      <c r="L2" s="7"/>
    </row>
    <row r="3" spans="1:17">
      <c r="A3" s="8">
        <v>2</v>
      </c>
      <c r="B3" s="8" t="s">
        <v>6</v>
      </c>
      <c r="C3" s="8" t="s">
        <v>5</v>
      </c>
      <c r="D3" s="8">
        <v>8</v>
      </c>
      <c r="E3" s="8">
        <f t="shared" ref="E3:E11" si="0">COUNTIF(C3,"food")*D3</f>
        <v>8</v>
      </c>
      <c r="F3" s="8">
        <f t="shared" ref="F3:F11" si="1">COUNTIF(C3,"fun")*D3</f>
        <v>0</v>
      </c>
      <c r="G3" s="8">
        <f t="shared" ref="G3:G11" si="2">COUNTIF(C3,"Office")*D3</f>
        <v>0</v>
      </c>
      <c r="H3" s="8">
        <f t="shared" ref="H3:H11" si="3">COUNTIF(C3,"Investment")*D3</f>
        <v>0</v>
      </c>
      <c r="I3" s="7"/>
      <c r="J3" s="2" t="s">
        <v>22</v>
      </c>
      <c r="K3" s="9">
        <f>SUM(F1:F11)</f>
        <v>300</v>
      </c>
      <c r="L3" s="7"/>
    </row>
    <row r="4" spans="1:17">
      <c r="A4" s="8">
        <v>3</v>
      </c>
      <c r="B4" s="8" t="s">
        <v>7</v>
      </c>
      <c r="C4" s="8" t="s">
        <v>5</v>
      </c>
      <c r="D4" s="8">
        <v>20</v>
      </c>
      <c r="E4" s="8">
        <f t="shared" si="0"/>
        <v>20</v>
      </c>
      <c r="F4" s="8">
        <f t="shared" si="1"/>
        <v>0</v>
      </c>
      <c r="G4" s="8">
        <f t="shared" si="2"/>
        <v>0</v>
      </c>
      <c r="H4" s="8">
        <f t="shared" si="3"/>
        <v>0</v>
      </c>
      <c r="I4" s="7"/>
      <c r="J4" s="2" t="s">
        <v>23</v>
      </c>
      <c r="K4" s="9">
        <f>SUM(G1:G11)</f>
        <v>40</v>
      </c>
      <c r="L4" s="7"/>
    </row>
    <row r="5" spans="1:17">
      <c r="A5" s="8">
        <v>4</v>
      </c>
      <c r="B5" s="8" t="s">
        <v>8</v>
      </c>
      <c r="C5" s="8" t="s">
        <v>5</v>
      </c>
      <c r="D5" s="8">
        <v>80</v>
      </c>
      <c r="E5" s="8">
        <f t="shared" si="0"/>
        <v>80</v>
      </c>
      <c r="F5" s="8">
        <f t="shared" si="1"/>
        <v>0</v>
      </c>
      <c r="G5" s="8">
        <f t="shared" si="2"/>
        <v>0</v>
      </c>
      <c r="H5" s="8">
        <f t="shared" si="3"/>
        <v>0</v>
      </c>
      <c r="I5" s="7"/>
      <c r="J5" s="2" t="s">
        <v>24</v>
      </c>
      <c r="K5" s="9">
        <f>SUM(H1:H11)</f>
        <v>3000</v>
      </c>
      <c r="L5" s="7"/>
    </row>
    <row r="6" spans="1:17">
      <c r="A6" s="8">
        <v>5</v>
      </c>
      <c r="B6" s="8" t="s">
        <v>4</v>
      </c>
      <c r="C6" s="8" t="s">
        <v>5</v>
      </c>
      <c r="D6" s="8">
        <v>10</v>
      </c>
      <c r="E6" s="8">
        <v>10</v>
      </c>
      <c r="F6" s="8">
        <f t="shared" si="1"/>
        <v>0</v>
      </c>
      <c r="G6" s="8">
        <f t="shared" si="2"/>
        <v>0</v>
      </c>
      <c r="H6" s="8">
        <f t="shared" si="3"/>
        <v>0</v>
      </c>
      <c r="I6" s="7"/>
      <c r="J6" s="2" t="s">
        <v>31</v>
      </c>
      <c r="K6" s="9">
        <f>SUM(K2:K5)</f>
        <v>3563</v>
      </c>
      <c r="L6" s="7"/>
    </row>
    <row r="7" spans="1:17">
      <c r="A7" s="8">
        <v>6</v>
      </c>
      <c r="B7" s="8" t="s">
        <v>9</v>
      </c>
      <c r="C7" s="8" t="s">
        <v>10</v>
      </c>
      <c r="D7" s="8">
        <v>40</v>
      </c>
      <c r="E7" s="8">
        <f t="shared" si="0"/>
        <v>0</v>
      </c>
      <c r="F7" s="8">
        <f t="shared" si="1"/>
        <v>0</v>
      </c>
      <c r="G7" s="8">
        <f t="shared" si="2"/>
        <v>40</v>
      </c>
      <c r="H7" s="8">
        <f t="shared" si="3"/>
        <v>0</v>
      </c>
      <c r="I7" s="7"/>
      <c r="K7" s="7"/>
      <c r="L7" s="7"/>
    </row>
    <row r="8" spans="1:17">
      <c r="A8" s="8">
        <v>7</v>
      </c>
      <c r="B8" s="8" t="s">
        <v>11</v>
      </c>
      <c r="C8" s="8" t="s">
        <v>12</v>
      </c>
      <c r="D8" s="8">
        <v>1000</v>
      </c>
      <c r="E8" s="8">
        <f t="shared" si="0"/>
        <v>0</v>
      </c>
      <c r="F8" s="8">
        <f t="shared" si="1"/>
        <v>0</v>
      </c>
      <c r="G8" s="8">
        <f t="shared" si="2"/>
        <v>0</v>
      </c>
      <c r="H8" s="8">
        <f t="shared" si="3"/>
        <v>1000</v>
      </c>
      <c r="I8" s="7"/>
      <c r="K8" s="7"/>
      <c r="L8" s="7"/>
    </row>
    <row r="9" spans="1:17" ht="15.75" thickBot="1">
      <c r="A9" s="8">
        <v>8</v>
      </c>
      <c r="B9" s="8" t="s">
        <v>13</v>
      </c>
      <c r="C9" s="8" t="s">
        <v>12</v>
      </c>
      <c r="D9" s="8">
        <v>2000</v>
      </c>
      <c r="E9" s="8">
        <f t="shared" si="0"/>
        <v>0</v>
      </c>
      <c r="F9" s="8">
        <f t="shared" si="1"/>
        <v>0</v>
      </c>
      <c r="G9" s="8">
        <f t="shared" si="2"/>
        <v>0</v>
      </c>
      <c r="H9" s="8">
        <f t="shared" si="3"/>
        <v>2000</v>
      </c>
      <c r="I9" s="7"/>
      <c r="K9" s="7"/>
      <c r="L9" s="7"/>
    </row>
    <row r="10" spans="1:17">
      <c r="A10" s="8">
        <v>9</v>
      </c>
      <c r="B10" s="8" t="s">
        <v>15</v>
      </c>
      <c r="C10" s="8" t="s">
        <v>5</v>
      </c>
      <c r="D10" s="8">
        <v>90</v>
      </c>
      <c r="E10" s="8">
        <f t="shared" si="0"/>
        <v>90</v>
      </c>
      <c r="F10" s="8">
        <f t="shared" si="1"/>
        <v>0</v>
      </c>
      <c r="G10" s="8">
        <f t="shared" si="2"/>
        <v>0</v>
      </c>
      <c r="H10" s="8">
        <f t="shared" si="3"/>
        <v>0</v>
      </c>
      <c r="I10" s="7"/>
      <c r="O10" s="10"/>
      <c r="P10" s="12" t="s">
        <v>2</v>
      </c>
      <c r="Q10" s="16" t="s">
        <v>27</v>
      </c>
    </row>
    <row r="11" spans="1:17" ht="30">
      <c r="A11" s="8">
        <v>10</v>
      </c>
      <c r="B11" s="8" t="s">
        <v>16</v>
      </c>
      <c r="C11" s="8" t="s">
        <v>17</v>
      </c>
      <c r="D11" s="8">
        <v>300</v>
      </c>
      <c r="E11" s="8">
        <f t="shared" si="0"/>
        <v>0</v>
      </c>
      <c r="F11" s="8">
        <f t="shared" si="1"/>
        <v>300</v>
      </c>
      <c r="G11" s="8">
        <f t="shared" si="2"/>
        <v>0</v>
      </c>
      <c r="H11" s="8">
        <f t="shared" si="3"/>
        <v>0</v>
      </c>
      <c r="I11" s="7"/>
      <c r="O11" s="11" t="s">
        <v>14</v>
      </c>
      <c r="P11" s="13">
        <f>SUM(D2:D11)</f>
        <v>3563</v>
      </c>
      <c r="Q11" s="15" t="s">
        <v>28</v>
      </c>
    </row>
    <row r="12" spans="1:17" ht="45">
      <c r="A12" s="7"/>
      <c r="B12" s="7"/>
      <c r="C12" s="7"/>
      <c r="D12" s="7"/>
      <c r="E12" s="7"/>
      <c r="F12" s="7"/>
      <c r="G12" s="7"/>
      <c r="H12" s="7"/>
      <c r="I12" s="7"/>
      <c r="O12" s="11" t="s">
        <v>18</v>
      </c>
      <c r="P12" s="13">
        <f>AVERAGE(D2:D11)</f>
        <v>356.3</v>
      </c>
      <c r="Q12" s="15" t="s">
        <v>28</v>
      </c>
    </row>
    <row r="13" spans="1:17" ht="30">
      <c r="A13" s="7"/>
      <c r="B13" s="7"/>
      <c r="C13" s="7"/>
      <c r="D13" s="7"/>
      <c r="E13" s="7"/>
      <c r="F13" s="7"/>
      <c r="G13" s="7"/>
      <c r="H13" s="7"/>
      <c r="I13" s="7"/>
      <c r="O13" s="11" t="s">
        <v>19</v>
      </c>
      <c r="P13" s="13">
        <f>SUM(E2:E11)</f>
        <v>223</v>
      </c>
      <c r="Q13" s="15">
        <f>P13/SUM($P$13:$P$14,$P$17:$P$18)</f>
        <v>6.258770698849285E-2</v>
      </c>
    </row>
    <row r="14" spans="1:17">
      <c r="A14" s="7"/>
      <c r="B14" s="7"/>
      <c r="C14" s="7"/>
      <c r="D14" s="7"/>
      <c r="E14" s="7"/>
      <c r="F14" s="7"/>
      <c r="G14" s="7"/>
      <c r="H14" s="7"/>
      <c r="I14" s="7"/>
      <c r="O14" s="11" t="s">
        <v>21</v>
      </c>
      <c r="P14" s="13">
        <f>SUM(F2:F11)</f>
        <v>300</v>
      </c>
      <c r="Q14" s="15">
        <f t="shared" ref="Q14:Q18" si="4">P14/SUM($P$13:$P$14,$P$17:$P$18)</f>
        <v>8.4198708953129392E-2</v>
      </c>
    </row>
    <row r="15" spans="1:17" ht="45">
      <c r="A15" s="7"/>
      <c r="B15" s="7"/>
      <c r="C15" s="7"/>
      <c r="D15" s="7"/>
      <c r="E15" s="7"/>
      <c r="F15" s="7"/>
      <c r="G15" s="7"/>
      <c r="H15" s="7"/>
      <c r="I15" s="7"/>
      <c r="O15" s="11" t="s">
        <v>32</v>
      </c>
      <c r="P15" s="13">
        <f>AVERAGE(E2:E11)</f>
        <v>22.3</v>
      </c>
      <c r="Q15" s="15" t="s">
        <v>28</v>
      </c>
    </row>
    <row r="16" spans="1:17" ht="30">
      <c r="A16" s="7"/>
      <c r="B16" s="7"/>
      <c r="C16" s="7"/>
      <c r="D16" s="7"/>
      <c r="E16" s="7"/>
      <c r="F16" s="7"/>
      <c r="G16" s="7"/>
      <c r="H16" s="7"/>
      <c r="I16" s="7"/>
      <c r="O16" s="11" t="s">
        <v>33</v>
      </c>
      <c r="P16" s="13">
        <f>AVERAGE(F2:F11)</f>
        <v>30</v>
      </c>
      <c r="Q16" s="15" t="s">
        <v>28</v>
      </c>
    </row>
    <row r="17" spans="1:17" ht="30">
      <c r="A17" s="7"/>
      <c r="B17" s="7"/>
      <c r="C17" s="7"/>
      <c r="D17" s="7"/>
      <c r="E17" s="7"/>
      <c r="F17" s="7"/>
      <c r="G17" s="7"/>
      <c r="H17" s="7"/>
      <c r="I17" s="7"/>
      <c r="O17" s="11" t="s">
        <v>25</v>
      </c>
      <c r="P17" s="13">
        <f>SUM(G2:G11)</f>
        <v>40</v>
      </c>
      <c r="Q17" s="15">
        <f t="shared" si="4"/>
        <v>1.1226494527083918E-2</v>
      </c>
    </row>
    <row r="18" spans="1:17" ht="15.75" thickBot="1">
      <c r="A18" s="7"/>
      <c r="B18" s="7"/>
      <c r="C18" s="7"/>
      <c r="D18" s="7"/>
      <c r="E18" s="7"/>
      <c r="F18" s="7"/>
      <c r="G18" s="7"/>
      <c r="H18" s="7"/>
      <c r="I18" s="7"/>
      <c r="O18" s="11" t="s">
        <v>26</v>
      </c>
      <c r="P18" s="14">
        <f>SUM(H2:H11)</f>
        <v>3000</v>
      </c>
      <c r="Q18" s="15">
        <f t="shared" si="4"/>
        <v>0.84198708953129386</v>
      </c>
    </row>
    <row r="19" spans="1:17">
      <c r="A19" s="7"/>
      <c r="B19" s="7"/>
      <c r="C19" s="7"/>
      <c r="D19" s="7"/>
      <c r="E19" s="7"/>
      <c r="F19" s="7"/>
      <c r="G19" s="7"/>
      <c r="H19" s="7"/>
      <c r="I19" s="7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 December</vt:lpstr>
      <vt:lpstr>13 December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2026-03-05T18:31:09Z</dcterms:modified>
</cp:coreProperties>
</file>